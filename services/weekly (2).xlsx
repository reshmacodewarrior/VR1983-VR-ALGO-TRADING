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A6346EB-918D-45C2-9D9B-E844090BECA4}" xr6:coauthVersionLast="43" xr6:coauthVersionMax="43" xr10:uidLastSave="{00000000-0000-0000-0000-000000000000}"/>
  <bookViews>
    <workbookView xWindow="28680" yWindow="-120" windowWidth="29040" windowHeight="15720" xr2:uid="{C0FE915C-AE90-4244-B833-4595125C6B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" i="1"/>
</calcChain>
</file>

<file path=xl/sharedStrings.xml><?xml version="1.0" encoding="utf-8"?>
<sst xmlns="http://schemas.openxmlformats.org/spreadsheetml/2006/main" count="213" uniqueCount="213">
  <si>
    <t>PGEL</t>
  </si>
  <si>
    <t>MCX</t>
  </si>
  <si>
    <t>SONACOMS</t>
  </si>
  <si>
    <t>AUROPHARMA</t>
  </si>
  <si>
    <t>PRESTIGE</t>
  </si>
  <si>
    <t>HINDZINC</t>
  </si>
  <si>
    <t>GMRAIRPORT</t>
  </si>
  <si>
    <t>INOXWIND</t>
  </si>
  <si>
    <t>BSE</t>
  </si>
  <si>
    <t>LUPIN</t>
  </si>
  <si>
    <t>NATIONALUM</t>
  </si>
  <si>
    <t>HCLTECH</t>
  </si>
  <si>
    <t>NMDC</t>
  </si>
  <si>
    <t>NYKAA</t>
  </si>
  <si>
    <t>TATASTEEL</t>
  </si>
  <si>
    <t>ADANIENSOL</t>
  </si>
  <si>
    <t>JSWSTEEL</t>
  </si>
  <si>
    <t>CGPOWER</t>
  </si>
  <si>
    <t>SAIL</t>
  </si>
  <si>
    <t>IDFCFIRSTB</t>
  </si>
  <si>
    <t>NHPC</t>
  </si>
  <si>
    <t>PPLPHARMA</t>
  </si>
  <si>
    <t>ANGELONE</t>
  </si>
  <si>
    <t>FEDERALBNK</t>
  </si>
  <si>
    <t>INDIGO</t>
  </si>
  <si>
    <t>KFINTECH</t>
  </si>
  <si>
    <t>NBCC</t>
  </si>
  <si>
    <t>IOC</t>
  </si>
  <si>
    <t>LTF</t>
  </si>
  <si>
    <t>CONCOR</t>
  </si>
  <si>
    <t>TATAELXSI</t>
  </si>
  <si>
    <t>VOLTAS</t>
  </si>
  <si>
    <t>KOTAKBANK</t>
  </si>
  <si>
    <t>OFSS</t>
  </si>
  <si>
    <t>MAXHEALTH</t>
  </si>
  <si>
    <t>JINDALSTEL</t>
  </si>
  <si>
    <t>MFSL</t>
  </si>
  <si>
    <t>SAMMAANCAP</t>
  </si>
  <si>
    <t>PERSISTENT</t>
  </si>
  <si>
    <t>FORTIS</t>
  </si>
  <si>
    <t>SYNGENE</t>
  </si>
  <si>
    <t>SBILIFE</t>
  </si>
  <si>
    <t>LTIM</t>
  </si>
  <si>
    <t>CUMMINSIND</t>
  </si>
  <si>
    <t>DIXON</t>
  </si>
  <si>
    <t>VEDL</t>
  </si>
  <si>
    <t>SHREECEM</t>
  </si>
  <si>
    <t>IGL</t>
  </si>
  <si>
    <t>MOTHERSON</t>
  </si>
  <si>
    <t>TIINDIA</t>
  </si>
  <si>
    <t>UNIONBANK</t>
  </si>
  <si>
    <t>ZYDUSLIFE</t>
  </si>
  <si>
    <t>IIFL</t>
  </si>
  <si>
    <t>CIPLA</t>
  </si>
  <si>
    <t>LAURUSLABS</t>
  </si>
  <si>
    <t>APOLLOHOSP</t>
  </si>
  <si>
    <t>YESBANK</t>
  </si>
  <si>
    <t>TECHM</t>
  </si>
  <si>
    <t>ETERNAL</t>
  </si>
  <si>
    <t>HUDCO</t>
  </si>
  <si>
    <t>TCS</t>
  </si>
  <si>
    <t>INFY</t>
  </si>
  <si>
    <t>INDUSINDBK</t>
  </si>
  <si>
    <t>TORNTPOWER</t>
  </si>
  <si>
    <t>SUNPHARMA</t>
  </si>
  <si>
    <t>DRREDDY</t>
  </si>
  <si>
    <t>MAZDOCK</t>
  </si>
  <si>
    <t>HINDALCO</t>
  </si>
  <si>
    <t>ONGC</t>
  </si>
  <si>
    <t>CDSL</t>
  </si>
  <si>
    <t>NCC</t>
  </si>
  <si>
    <t>WIPRO</t>
  </si>
  <si>
    <t>HFCL</t>
  </si>
  <si>
    <t>CYIENT</t>
  </si>
  <si>
    <t>ABCAPITAL</t>
  </si>
  <si>
    <t>LT</t>
  </si>
  <si>
    <t>CHOLAFIN</t>
  </si>
  <si>
    <t>JIOFIN</t>
  </si>
  <si>
    <t>ADANIENT</t>
  </si>
  <si>
    <t>DIVISLAB</t>
  </si>
  <si>
    <t>PNB</t>
  </si>
  <si>
    <t>COALINDIA</t>
  </si>
  <si>
    <t>BEL</t>
  </si>
  <si>
    <t>HINDUNILVR</t>
  </si>
  <si>
    <t>GLENMARK</t>
  </si>
  <si>
    <t>TATATECH</t>
  </si>
  <si>
    <t>SUZLON</t>
  </si>
  <si>
    <t>BIOCON</t>
  </si>
  <si>
    <t>DABUR</t>
  </si>
  <si>
    <t>PAYTM</t>
  </si>
  <si>
    <t>IEX</t>
  </si>
  <si>
    <t>IRCTC</t>
  </si>
  <si>
    <t>ULTRACEMCO</t>
  </si>
  <si>
    <t>JSWENERGY</t>
  </si>
  <si>
    <t>GRASIM</t>
  </si>
  <si>
    <t>HDFCLIFE</t>
  </si>
  <si>
    <t>SOLARINDS</t>
  </si>
  <si>
    <t>PIDILITIND</t>
  </si>
  <si>
    <t>GAIL</t>
  </si>
  <si>
    <t>TITAGARH</t>
  </si>
  <si>
    <t>OIL</t>
  </si>
  <si>
    <t>SUPREMEIND</t>
  </si>
  <si>
    <t>BPCL</t>
  </si>
  <si>
    <t>BANKBARODA</t>
  </si>
  <si>
    <t>RELIANCE</t>
  </si>
  <si>
    <t>UNITDSPR</t>
  </si>
  <si>
    <t>BANDHANBNK</t>
  </si>
  <si>
    <t>ADANIGREEN</t>
  </si>
  <si>
    <t>BANKINDIA</t>
  </si>
  <si>
    <t>SHRIRAMFIN</t>
  </si>
  <si>
    <t>PIIND</t>
  </si>
  <si>
    <t>COFORGE</t>
  </si>
  <si>
    <t>EXIDEIND</t>
  </si>
  <si>
    <t>SRF</t>
  </si>
  <si>
    <t>M&amp;M</t>
  </si>
  <si>
    <t>APLAPOLLO</t>
  </si>
  <si>
    <t>NUVAMA</t>
  </si>
  <si>
    <t>OBEROIRLTY</t>
  </si>
  <si>
    <t>TRENT</t>
  </si>
  <si>
    <t>NTPC</t>
  </si>
  <si>
    <t>CAMS</t>
  </si>
  <si>
    <t>TATAPOWER</t>
  </si>
  <si>
    <t>BHARATFORG</t>
  </si>
  <si>
    <t>EICHERMOT</t>
  </si>
  <si>
    <t>VBL</t>
  </si>
  <si>
    <t>IRFC</t>
  </si>
  <si>
    <t>POWERGRID</t>
  </si>
  <si>
    <t>HAL</t>
  </si>
  <si>
    <t>BAJAJFINSV</t>
  </si>
  <si>
    <t>ICICIBANK</t>
  </si>
  <si>
    <t>POLYCAB</t>
  </si>
  <si>
    <t>PFC</t>
  </si>
  <si>
    <t>MANKIND</t>
  </si>
  <si>
    <t>SBIN</t>
  </si>
  <si>
    <t>BAJFINANCE</t>
  </si>
  <si>
    <t>MANAPPURAM</t>
  </si>
  <si>
    <t>HINDPETRO</t>
  </si>
  <si>
    <t>KALYANKJIL</t>
  </si>
  <si>
    <t>INDIANB</t>
  </si>
  <si>
    <t>INDHOTEL</t>
  </si>
  <si>
    <t>KEI</t>
  </si>
  <si>
    <t>DLF</t>
  </si>
  <si>
    <t>BAJAJ-AUTO</t>
  </si>
  <si>
    <t>LICHSGFIN</t>
  </si>
  <si>
    <t>ASIANPAINT</t>
  </si>
  <si>
    <t>PETRONET</t>
  </si>
  <si>
    <t>MPHASIS</t>
  </si>
  <si>
    <t>ICICIGI</t>
  </si>
  <si>
    <t>HDFCAMC</t>
  </si>
  <si>
    <t>DELHIVERY</t>
  </si>
  <si>
    <t>IDEA</t>
  </si>
  <si>
    <t>ICICIPRULI</t>
  </si>
  <si>
    <t>GODREJCP</t>
  </si>
  <si>
    <t>LICI</t>
  </si>
  <si>
    <t>PHOENIXLTD</t>
  </si>
  <si>
    <t>ADANIPORTS</t>
  </si>
  <si>
    <t>ALKEM</t>
  </si>
  <si>
    <t>BRITANNIA</t>
  </si>
  <si>
    <t>CANBK</t>
  </si>
  <si>
    <t>MARICO</t>
  </si>
  <si>
    <t>BDL</t>
  </si>
  <si>
    <t>PAGEIND</t>
  </si>
  <si>
    <t>ITC</t>
  </si>
  <si>
    <t>NESTLEIND</t>
  </si>
  <si>
    <t>BOSCHLTD</t>
  </si>
  <si>
    <t>AUBANK</t>
  </si>
  <si>
    <t>HEROMOTOCO</t>
  </si>
  <si>
    <t>IREDA</t>
  </si>
  <si>
    <t>BHARTIARTL</t>
  </si>
  <si>
    <t>UPL</t>
  </si>
  <si>
    <t>TATACONSUM</t>
  </si>
  <si>
    <t>AMBUJACEM</t>
  </si>
  <si>
    <t>DMART</t>
  </si>
  <si>
    <t>HDFCBANK</t>
  </si>
  <si>
    <t>BHEL</t>
  </si>
  <si>
    <t>PATANJALI</t>
  </si>
  <si>
    <t>SBICARD</t>
  </si>
  <si>
    <t>JUBLFOOD</t>
  </si>
  <si>
    <t>INDUSTOWER</t>
  </si>
  <si>
    <t>RBLBANK</t>
  </si>
  <si>
    <t>COLPAL</t>
  </si>
  <si>
    <t>ABB</t>
  </si>
  <si>
    <t>RECLTD</t>
  </si>
  <si>
    <t>360ONE</t>
  </si>
  <si>
    <t>LODHA</t>
  </si>
  <si>
    <t>TVSMOTOR</t>
  </si>
  <si>
    <t>ASTRAL</t>
  </si>
  <si>
    <t>PNBHOUSING</t>
  </si>
  <si>
    <t>POLICYBZR</t>
  </si>
  <si>
    <t>BLUESTARCO</t>
  </si>
  <si>
    <t>TITAN</t>
  </si>
  <si>
    <t>RVNL</t>
  </si>
  <si>
    <t>DALBHARAT</t>
  </si>
  <si>
    <t>KAYNES</t>
  </si>
  <si>
    <t>HAVELLS</t>
  </si>
  <si>
    <t>CROMPTON</t>
  </si>
  <si>
    <t>MARUTI</t>
  </si>
  <si>
    <t>TORNTPHARM</t>
  </si>
  <si>
    <t>ASHOKLEY</t>
  </si>
  <si>
    <t>GODREJPROP</t>
  </si>
  <si>
    <t>MUTHOOTFIN</t>
  </si>
  <si>
    <t>POWERINDIA</t>
  </si>
  <si>
    <t>AXISBANK</t>
  </si>
  <si>
    <t>KPITTECH</t>
  </si>
  <si>
    <t>AMBER</t>
  </si>
  <si>
    <t>TATAMOTORS</t>
  </si>
  <si>
    <t>SIEMENS</t>
  </si>
  <si>
    <t>NAUKRI</t>
  </si>
  <si>
    <t>UNOMINDA</t>
  </si>
  <si>
    <t>levels</t>
  </si>
  <si>
    <t>stock name</t>
  </si>
  <si>
    <t>sum</t>
  </si>
  <si>
    <t>ltp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</si>
</sst>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/>
    <xf numFmtId="4" fontId="0" fillId="0" borderId="0" xfId="0" applyNumberFormat="1" applyAlignment="1">
      <alignment vertical="top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94BC-DD3A-47A7-BEF3-8484CC04068D}">
  <dimension ref="A1:G210"/>
  <sheetViews>
    <sheetView tabSelected="1" workbookViewId="0">
      <selection activeCell="G1" sqref="G1"/>
    </sheetView>
  </sheetViews>
  <sheetFormatPr defaultRowHeight="15" x14ac:dyDescent="0.25"/>
  <cols>
    <col min="1" max="16384" width="9.140625" style="2"/>
  </cols>
  <sheetData>
    <row r="1" spans="1:7" ht="30" x14ac:dyDescent="0.25">
      <c r="A1" s="1" t="s">
        <v>210</v>
      </c>
      <c r="B1" s="1" t="s">
        <v>209</v>
      </c>
      <c r="D1" s="2" t="s">
        <v>212</v>
      </c>
      <c r="F1" s="2" t="s">
        <v>211</v>
      </c>
      <c r="G1" s="4">
        <f>SUM(F2:F300)</f>
        <v>1555.7000000000007</v>
      </c>
    </row>
    <row r="2" spans="1:7" x14ac:dyDescent="0.25">
      <c r="A2" t="s">
        <v>183</v>
      </c>
      <c r="B2" s="3">
        <v>1085</v>
      </c>
      <c r="D2" s="3">
        <v>1164.3</v>
      </c>
      <c r="F2" s="4">
        <f>D2-B2</f>
        <v>79.299999999999955</v>
      </c>
    </row>
    <row r="3" spans="1:7" x14ac:dyDescent="0.25">
      <c r="A3" t="s">
        <v>181</v>
      </c>
      <c r="B3" s="3">
        <v>5160</v>
      </c>
      <c r="D3" s="3">
        <v>5189</v>
      </c>
      <c r="F3" s="4">
        <f t="shared" ref="F3:F66" si="0">D3-B3</f>
        <v>29</v>
      </c>
    </row>
    <row r="4" spans="1:7" x14ac:dyDescent="0.25">
      <c r="A4" t="s">
        <v>74</v>
      </c>
      <c r="B4">
        <v>292</v>
      </c>
      <c r="D4">
        <v>304.05</v>
      </c>
      <c r="F4" s="4">
        <f t="shared" si="0"/>
        <v>12.050000000000011</v>
      </c>
    </row>
    <row r="5" spans="1:7" x14ac:dyDescent="0.25">
      <c r="A5" t="s">
        <v>15</v>
      </c>
      <c r="B5">
        <v>925.85</v>
      </c>
      <c r="D5">
        <v>933.7</v>
      </c>
      <c r="F5" s="4">
        <f t="shared" si="0"/>
        <v>7.8500000000000227</v>
      </c>
    </row>
    <row r="6" spans="1:7" x14ac:dyDescent="0.25">
      <c r="A6" t="s">
        <v>78</v>
      </c>
      <c r="B6" s="3">
        <v>2529.1</v>
      </c>
      <c r="D6" s="3">
        <v>2549.9</v>
      </c>
      <c r="F6" s="4">
        <f t="shared" si="0"/>
        <v>20.800000000000182</v>
      </c>
    </row>
    <row r="7" spans="1:7" x14ac:dyDescent="0.25">
      <c r="A7" t="s">
        <v>107</v>
      </c>
      <c r="B7" s="3">
        <v>1054.3</v>
      </c>
      <c r="D7" s="3">
        <v>1042</v>
      </c>
      <c r="F7" s="4">
        <f t="shared" si="0"/>
        <v>-12.299999999999955</v>
      </c>
    </row>
    <row r="8" spans="1:7" x14ac:dyDescent="0.25">
      <c r="A8" t="s">
        <v>155</v>
      </c>
      <c r="B8" s="3">
        <v>1400.8</v>
      </c>
      <c r="D8" s="3">
        <v>1450.3</v>
      </c>
      <c r="F8" s="4">
        <f t="shared" si="0"/>
        <v>49.5</v>
      </c>
    </row>
    <row r="9" spans="1:7" x14ac:dyDescent="0.25">
      <c r="A9" t="s">
        <v>156</v>
      </c>
      <c r="B9" s="3">
        <v>5458.5</v>
      </c>
      <c r="D9" s="3">
        <v>5597.5</v>
      </c>
      <c r="F9" s="4">
        <f t="shared" si="0"/>
        <v>139</v>
      </c>
    </row>
    <row r="10" spans="1:7" x14ac:dyDescent="0.25">
      <c r="A10" t="s">
        <v>204</v>
      </c>
      <c r="B10" s="3">
        <v>8282</v>
      </c>
      <c r="D10" s="3">
        <v>8229.5</v>
      </c>
      <c r="F10" s="4">
        <f t="shared" si="0"/>
        <v>-52.5</v>
      </c>
    </row>
    <row r="11" spans="1:7" x14ac:dyDescent="0.25">
      <c r="A11" t="s">
        <v>171</v>
      </c>
      <c r="B11">
        <v>565.20000000000005</v>
      </c>
      <c r="D11">
        <v>566</v>
      </c>
      <c r="F11" s="4">
        <f t="shared" si="0"/>
        <v>0.79999999999995453</v>
      </c>
    </row>
    <row r="12" spans="1:7" x14ac:dyDescent="0.25">
      <c r="A12" t="s">
        <v>22</v>
      </c>
      <c r="B12" s="3">
        <v>2289.3000000000002</v>
      </c>
      <c r="D12" s="3">
        <v>2433.6</v>
      </c>
      <c r="F12" s="4">
        <f t="shared" si="0"/>
        <v>144.29999999999973</v>
      </c>
    </row>
    <row r="13" spans="1:7" x14ac:dyDescent="0.25">
      <c r="A13" t="s">
        <v>115</v>
      </c>
      <c r="B13" s="3">
        <v>1738.6</v>
      </c>
      <c r="D13" s="3">
        <v>1733.1</v>
      </c>
      <c r="F13" s="4">
        <f t="shared" si="0"/>
        <v>-5.5</v>
      </c>
    </row>
    <row r="14" spans="1:7" x14ac:dyDescent="0.25">
      <c r="A14" t="s">
        <v>55</v>
      </c>
      <c r="B14" s="3">
        <v>7709</v>
      </c>
      <c r="D14" s="3">
        <v>7826</v>
      </c>
      <c r="F14" s="4">
        <f t="shared" si="0"/>
        <v>117</v>
      </c>
    </row>
    <row r="15" spans="1:7" x14ac:dyDescent="0.25">
      <c r="A15" t="s">
        <v>198</v>
      </c>
      <c r="B15">
        <v>137.49</v>
      </c>
      <c r="D15">
        <v>136.09</v>
      </c>
      <c r="F15" s="4">
        <f t="shared" si="0"/>
        <v>-1.4000000000000057</v>
      </c>
    </row>
    <row r="16" spans="1:7" x14ac:dyDescent="0.25">
      <c r="A16" t="s">
        <v>144</v>
      </c>
      <c r="B16" s="3">
        <v>2340.1999999999998</v>
      </c>
      <c r="D16" s="3">
        <v>2374.3000000000002</v>
      </c>
      <c r="F16" s="4">
        <f t="shared" si="0"/>
        <v>34.100000000000364</v>
      </c>
    </row>
    <row r="17" spans="1:6" x14ac:dyDescent="0.25">
      <c r="A17" t="s">
        <v>186</v>
      </c>
      <c r="B17" s="3">
        <v>1424.6</v>
      </c>
      <c r="D17" s="3">
        <v>1435.5</v>
      </c>
      <c r="F17" s="4">
        <f t="shared" si="0"/>
        <v>10.900000000000091</v>
      </c>
    </row>
    <row r="18" spans="1:6" x14ac:dyDescent="0.25">
      <c r="A18" t="s">
        <v>165</v>
      </c>
      <c r="B18">
        <v>771.15</v>
      </c>
      <c r="D18">
        <v>799.75</v>
      </c>
      <c r="F18" s="4">
        <f t="shared" si="0"/>
        <v>28.600000000000023</v>
      </c>
    </row>
    <row r="19" spans="1:6" x14ac:dyDescent="0.25">
      <c r="A19" t="s">
        <v>3</v>
      </c>
      <c r="B19" s="3">
        <v>1127.7</v>
      </c>
      <c r="D19" s="3">
        <v>1115</v>
      </c>
      <c r="F19" s="4">
        <f t="shared" si="0"/>
        <v>-12.700000000000045</v>
      </c>
    </row>
    <row r="20" spans="1:6" x14ac:dyDescent="0.25">
      <c r="A20" t="s">
        <v>202</v>
      </c>
      <c r="B20" s="3">
        <v>1171</v>
      </c>
      <c r="D20" s="3">
        <v>1169</v>
      </c>
      <c r="F20" s="4">
        <f t="shared" si="0"/>
        <v>-2</v>
      </c>
    </row>
    <row r="21" spans="1:6" x14ac:dyDescent="0.25">
      <c r="A21" t="s">
        <v>142</v>
      </c>
      <c r="B21" s="3">
        <v>8947</v>
      </c>
      <c r="D21" s="3">
        <v>9106</v>
      </c>
      <c r="F21" s="4">
        <f t="shared" si="0"/>
        <v>159</v>
      </c>
    </row>
    <row r="22" spans="1:6" x14ac:dyDescent="0.25">
      <c r="A22" t="s">
        <v>128</v>
      </c>
      <c r="B22" s="3">
        <v>2004.1</v>
      </c>
      <c r="D22" s="3">
        <v>2074</v>
      </c>
      <c r="F22" s="4">
        <f t="shared" si="0"/>
        <v>69.900000000000091</v>
      </c>
    </row>
    <row r="23" spans="1:6" x14ac:dyDescent="0.25">
      <c r="A23" t="s">
        <v>134</v>
      </c>
      <c r="B23" s="3">
        <v>1023.85</v>
      </c>
      <c r="D23" s="3">
        <v>1054.6500000000001</v>
      </c>
      <c r="F23" s="4">
        <f t="shared" si="0"/>
        <v>30.800000000000068</v>
      </c>
    </row>
    <row r="24" spans="1:6" x14ac:dyDescent="0.25">
      <c r="A24" t="s">
        <v>106</v>
      </c>
      <c r="B24">
        <v>168</v>
      </c>
      <c r="D24">
        <v>163.71</v>
      </c>
      <c r="F24" s="4">
        <f t="shared" si="0"/>
        <v>-4.289999999999992</v>
      </c>
    </row>
    <row r="25" spans="1:6" x14ac:dyDescent="0.25">
      <c r="A25" t="s">
        <v>103</v>
      </c>
      <c r="B25">
        <v>266.39999999999998</v>
      </c>
      <c r="D25">
        <v>270</v>
      </c>
      <c r="F25" s="4">
        <f t="shared" si="0"/>
        <v>3.6000000000000227</v>
      </c>
    </row>
    <row r="26" spans="1:6" x14ac:dyDescent="0.25">
      <c r="A26" t="s">
        <v>108</v>
      </c>
      <c r="B26">
        <v>127</v>
      </c>
      <c r="D26">
        <v>126.55</v>
      </c>
      <c r="F26" s="4">
        <f t="shared" si="0"/>
        <v>-0.45000000000000284</v>
      </c>
    </row>
    <row r="27" spans="1:6" x14ac:dyDescent="0.25">
      <c r="A27" t="s">
        <v>160</v>
      </c>
      <c r="B27" s="3">
        <v>1524.9</v>
      </c>
      <c r="D27" s="3">
        <v>1517.1</v>
      </c>
      <c r="F27" s="4">
        <f t="shared" si="0"/>
        <v>-7.8000000000001819</v>
      </c>
    </row>
    <row r="28" spans="1:6" x14ac:dyDescent="0.25">
      <c r="A28" t="s">
        <v>82</v>
      </c>
      <c r="B28">
        <v>412.95</v>
      </c>
      <c r="D28">
        <v>409.5</v>
      </c>
      <c r="F28" s="4">
        <f t="shared" si="0"/>
        <v>-3.4499999999999886</v>
      </c>
    </row>
    <row r="29" spans="1:6" x14ac:dyDescent="0.25">
      <c r="A29" t="s">
        <v>122</v>
      </c>
      <c r="B29" s="3">
        <v>1220</v>
      </c>
      <c r="D29" s="3">
        <v>1239.2</v>
      </c>
      <c r="F29" s="4">
        <f t="shared" si="0"/>
        <v>19.200000000000045</v>
      </c>
    </row>
    <row r="30" spans="1:6" x14ac:dyDescent="0.25">
      <c r="A30" t="s">
        <v>168</v>
      </c>
      <c r="B30" s="3">
        <v>1937.9</v>
      </c>
      <c r="D30" s="3">
        <v>1966.6</v>
      </c>
      <c r="F30" s="4">
        <f t="shared" si="0"/>
        <v>28.699999999999818</v>
      </c>
    </row>
    <row r="31" spans="1:6" x14ac:dyDescent="0.25">
      <c r="A31" t="s">
        <v>174</v>
      </c>
      <c r="B31">
        <v>237.4</v>
      </c>
      <c r="D31">
        <v>236.75</v>
      </c>
      <c r="F31" s="4">
        <f t="shared" si="0"/>
        <v>-0.65000000000000568</v>
      </c>
    </row>
    <row r="32" spans="1:6" x14ac:dyDescent="0.25">
      <c r="A32" t="s">
        <v>87</v>
      </c>
      <c r="B32">
        <v>353.45</v>
      </c>
      <c r="D32">
        <v>354.65</v>
      </c>
      <c r="F32" s="4">
        <f t="shared" si="0"/>
        <v>1.1999999999999886</v>
      </c>
    </row>
    <row r="33" spans="1:6" x14ac:dyDescent="0.25">
      <c r="A33" t="s">
        <v>189</v>
      </c>
      <c r="B33" s="3">
        <v>1939</v>
      </c>
      <c r="D33" s="3">
        <v>1900</v>
      </c>
      <c r="F33" s="4">
        <f t="shared" si="0"/>
        <v>-39</v>
      </c>
    </row>
    <row r="34" spans="1:6" x14ac:dyDescent="0.25">
      <c r="A34" t="s">
        <v>164</v>
      </c>
      <c r="B34" s="3">
        <v>38655</v>
      </c>
      <c r="D34" s="3">
        <v>38530</v>
      </c>
      <c r="F34" s="4">
        <f t="shared" si="0"/>
        <v>-125</v>
      </c>
    </row>
    <row r="35" spans="1:6" x14ac:dyDescent="0.25">
      <c r="A35" t="s">
        <v>102</v>
      </c>
      <c r="B35">
        <v>340.5</v>
      </c>
      <c r="D35">
        <v>338.95</v>
      </c>
      <c r="F35" s="4">
        <f t="shared" si="0"/>
        <v>-1.5500000000000114</v>
      </c>
    </row>
    <row r="36" spans="1:6" x14ac:dyDescent="0.25">
      <c r="A36" t="s">
        <v>157</v>
      </c>
      <c r="B36" s="3">
        <v>5871.5</v>
      </c>
      <c r="D36" s="3">
        <v>5810</v>
      </c>
      <c r="F36" s="4">
        <f t="shared" si="0"/>
        <v>-61.5</v>
      </c>
    </row>
    <row r="37" spans="1:6" x14ac:dyDescent="0.25">
      <c r="A37" t="s">
        <v>8</v>
      </c>
      <c r="B37" s="3">
        <v>2375</v>
      </c>
      <c r="D37" s="3">
        <v>2461.5</v>
      </c>
      <c r="F37" s="4">
        <f t="shared" si="0"/>
        <v>86.5</v>
      </c>
    </row>
    <row r="38" spans="1:6" x14ac:dyDescent="0.25">
      <c r="A38" t="s">
        <v>120</v>
      </c>
      <c r="B38" s="3">
        <v>3875</v>
      </c>
      <c r="D38" s="3">
        <v>3859.6</v>
      </c>
      <c r="F38" s="4">
        <f t="shared" si="0"/>
        <v>-15.400000000000091</v>
      </c>
    </row>
    <row r="39" spans="1:6" x14ac:dyDescent="0.25">
      <c r="A39" t="s">
        <v>158</v>
      </c>
      <c r="B39">
        <v>127.3</v>
      </c>
      <c r="D39">
        <v>127.81</v>
      </c>
      <c r="F39" s="4">
        <f t="shared" si="0"/>
        <v>0.51000000000000512</v>
      </c>
    </row>
    <row r="40" spans="1:6" x14ac:dyDescent="0.25">
      <c r="A40" t="s">
        <v>69</v>
      </c>
      <c r="B40" s="3">
        <v>1601</v>
      </c>
      <c r="D40" s="3">
        <v>1632</v>
      </c>
      <c r="F40" s="4">
        <f t="shared" si="0"/>
        <v>31</v>
      </c>
    </row>
    <row r="41" spans="1:6" x14ac:dyDescent="0.25">
      <c r="A41" t="s">
        <v>17</v>
      </c>
      <c r="B41">
        <v>745.9</v>
      </c>
      <c r="D41">
        <v>753.3</v>
      </c>
      <c r="F41" s="4">
        <f t="shared" si="0"/>
        <v>7.3999999999999773</v>
      </c>
    </row>
    <row r="42" spans="1:6" x14ac:dyDescent="0.25">
      <c r="A42" t="s">
        <v>76</v>
      </c>
      <c r="B42" s="3">
        <v>1614</v>
      </c>
      <c r="D42" s="3">
        <v>1686</v>
      </c>
      <c r="F42" s="4">
        <f t="shared" si="0"/>
        <v>72</v>
      </c>
    </row>
    <row r="43" spans="1:6" x14ac:dyDescent="0.25">
      <c r="A43" t="s">
        <v>53</v>
      </c>
      <c r="B43" s="3">
        <v>1559</v>
      </c>
      <c r="D43" s="3">
        <v>1553.5</v>
      </c>
      <c r="F43" s="4">
        <f t="shared" si="0"/>
        <v>-5.5</v>
      </c>
    </row>
    <row r="44" spans="1:6" x14ac:dyDescent="0.25">
      <c r="A44" t="s">
        <v>81</v>
      </c>
      <c r="B44">
        <v>383.25</v>
      </c>
      <c r="D44">
        <v>384.25</v>
      </c>
      <c r="F44" s="4">
        <f t="shared" si="0"/>
        <v>1</v>
      </c>
    </row>
    <row r="45" spans="1:6" x14ac:dyDescent="0.25">
      <c r="A45" t="s">
        <v>111</v>
      </c>
      <c r="B45" s="3">
        <v>1710</v>
      </c>
      <c r="D45" s="3">
        <v>1750.2</v>
      </c>
      <c r="F45" s="4">
        <f t="shared" si="0"/>
        <v>40.200000000000045</v>
      </c>
    </row>
    <row r="46" spans="1:6" x14ac:dyDescent="0.25">
      <c r="A46" t="s">
        <v>180</v>
      </c>
      <c r="B46" s="3">
        <v>2220</v>
      </c>
      <c r="D46" s="3">
        <v>2226.5</v>
      </c>
      <c r="F46" s="4">
        <f t="shared" si="0"/>
        <v>6.5</v>
      </c>
    </row>
    <row r="47" spans="1:6" x14ac:dyDescent="0.25">
      <c r="A47" t="s">
        <v>29</v>
      </c>
      <c r="B47">
        <v>541</v>
      </c>
      <c r="D47">
        <v>529.9</v>
      </c>
      <c r="F47" s="4">
        <f t="shared" si="0"/>
        <v>-11.100000000000023</v>
      </c>
    </row>
    <row r="48" spans="1:6" x14ac:dyDescent="0.25">
      <c r="A48" t="s">
        <v>195</v>
      </c>
      <c r="B48">
        <v>288.55</v>
      </c>
      <c r="D48">
        <v>288.05</v>
      </c>
      <c r="F48" s="4">
        <f t="shared" si="0"/>
        <v>-0.5</v>
      </c>
    </row>
    <row r="49" spans="1:6" x14ac:dyDescent="0.25">
      <c r="A49" t="s">
        <v>43</v>
      </c>
      <c r="B49" s="3">
        <v>3948</v>
      </c>
      <c r="D49" s="3">
        <v>3975.5</v>
      </c>
      <c r="F49" s="4">
        <f t="shared" si="0"/>
        <v>27.5</v>
      </c>
    </row>
    <row r="50" spans="1:6" x14ac:dyDescent="0.25">
      <c r="A50" t="s">
        <v>73</v>
      </c>
      <c r="B50" s="3">
        <v>1176.5</v>
      </c>
      <c r="D50" s="3">
        <v>1163.3</v>
      </c>
      <c r="F50" s="4">
        <f t="shared" si="0"/>
        <v>-13.200000000000045</v>
      </c>
    </row>
    <row r="51" spans="1:6" x14ac:dyDescent="0.25">
      <c r="A51" t="s">
        <v>88</v>
      </c>
      <c r="B51">
        <v>488.6</v>
      </c>
      <c r="D51">
        <v>493.05</v>
      </c>
      <c r="F51" s="4">
        <f t="shared" si="0"/>
        <v>4.4499999999999886</v>
      </c>
    </row>
    <row r="52" spans="1:6" x14ac:dyDescent="0.25">
      <c r="A52" t="s">
        <v>192</v>
      </c>
      <c r="B52" s="3">
        <v>2227.6999999999998</v>
      </c>
      <c r="D52" s="3">
        <v>2224</v>
      </c>
      <c r="F52" s="4">
        <f t="shared" si="0"/>
        <v>-3.6999999999998181</v>
      </c>
    </row>
    <row r="53" spans="1:6" x14ac:dyDescent="0.25">
      <c r="A53" t="s">
        <v>149</v>
      </c>
      <c r="B53">
        <v>464.85</v>
      </c>
      <c r="D53">
        <v>459.75</v>
      </c>
      <c r="F53" s="4">
        <f t="shared" si="0"/>
        <v>-5.1000000000000227</v>
      </c>
    </row>
    <row r="54" spans="1:6" x14ac:dyDescent="0.25">
      <c r="A54" t="s">
        <v>79</v>
      </c>
      <c r="B54" s="3">
        <v>6465.5</v>
      </c>
      <c r="D54" s="3">
        <v>6565</v>
      </c>
      <c r="F54" s="4">
        <f t="shared" si="0"/>
        <v>99.5</v>
      </c>
    </row>
    <row r="55" spans="1:6" x14ac:dyDescent="0.25">
      <c r="A55" t="s">
        <v>44</v>
      </c>
      <c r="B55" s="3">
        <v>17440</v>
      </c>
      <c r="D55" s="3">
        <v>16722</v>
      </c>
      <c r="F55" s="4">
        <f t="shared" si="0"/>
        <v>-718</v>
      </c>
    </row>
    <row r="56" spans="1:6" x14ac:dyDescent="0.25">
      <c r="A56" t="s">
        <v>141</v>
      </c>
      <c r="B56">
        <v>738.4</v>
      </c>
      <c r="D56">
        <v>761.8</v>
      </c>
      <c r="F56" s="4">
        <f t="shared" si="0"/>
        <v>23.399999999999977</v>
      </c>
    </row>
    <row r="57" spans="1:6" x14ac:dyDescent="0.25">
      <c r="A57" t="s">
        <v>172</v>
      </c>
      <c r="B57" s="3">
        <v>4275</v>
      </c>
      <c r="D57" s="3">
        <v>4246.8</v>
      </c>
      <c r="F57" s="4">
        <f t="shared" si="0"/>
        <v>-28.199999999999818</v>
      </c>
    </row>
    <row r="58" spans="1:6" x14ac:dyDescent="0.25">
      <c r="A58" t="s">
        <v>65</v>
      </c>
      <c r="B58" s="3">
        <v>1257</v>
      </c>
      <c r="D58" s="3">
        <v>1235.8</v>
      </c>
      <c r="F58" s="4">
        <f t="shared" si="0"/>
        <v>-21.200000000000045</v>
      </c>
    </row>
    <row r="59" spans="1:6" x14ac:dyDescent="0.25">
      <c r="A59" t="s">
        <v>123</v>
      </c>
      <c r="B59" s="3">
        <v>6999.5</v>
      </c>
      <c r="D59" s="3">
        <v>6904</v>
      </c>
      <c r="F59" s="4">
        <f t="shared" si="0"/>
        <v>-95.5</v>
      </c>
    </row>
    <row r="60" spans="1:6" x14ac:dyDescent="0.25">
      <c r="A60" t="s">
        <v>58</v>
      </c>
      <c r="B60">
        <v>347.5</v>
      </c>
      <c r="D60">
        <v>352.8</v>
      </c>
      <c r="F60" s="4">
        <f t="shared" si="0"/>
        <v>5.3000000000000114</v>
      </c>
    </row>
    <row r="61" spans="1:6" x14ac:dyDescent="0.25">
      <c r="A61" t="s">
        <v>112</v>
      </c>
      <c r="B61">
        <v>397.05</v>
      </c>
      <c r="D61">
        <v>392.15</v>
      </c>
      <c r="F61" s="4">
        <f t="shared" si="0"/>
        <v>-4.9000000000000341</v>
      </c>
    </row>
    <row r="62" spans="1:6" x14ac:dyDescent="0.25">
      <c r="A62" t="s">
        <v>23</v>
      </c>
      <c r="B62">
        <v>208.1</v>
      </c>
      <c r="D62">
        <v>216.12</v>
      </c>
      <c r="F62" s="4">
        <f t="shared" si="0"/>
        <v>8.0200000000000102</v>
      </c>
    </row>
    <row r="63" spans="1:6" x14ac:dyDescent="0.25">
      <c r="A63" t="s">
        <v>39</v>
      </c>
      <c r="B63" s="3">
        <v>1062</v>
      </c>
      <c r="D63" s="3">
        <v>1090.5</v>
      </c>
      <c r="F63" s="4">
        <f t="shared" si="0"/>
        <v>28.5</v>
      </c>
    </row>
    <row r="64" spans="1:6" x14ac:dyDescent="0.25">
      <c r="A64" t="s">
        <v>98</v>
      </c>
      <c r="B64">
        <v>178.8</v>
      </c>
      <c r="D64">
        <v>177.06</v>
      </c>
      <c r="F64" s="4">
        <f t="shared" si="0"/>
        <v>-1.7400000000000091</v>
      </c>
    </row>
    <row r="65" spans="1:6" x14ac:dyDescent="0.25">
      <c r="A65" t="s">
        <v>84</v>
      </c>
      <c r="B65" s="3">
        <v>1935</v>
      </c>
      <c r="D65" s="3">
        <v>1902.8</v>
      </c>
      <c r="F65" s="4">
        <f t="shared" si="0"/>
        <v>-32.200000000000045</v>
      </c>
    </row>
    <row r="66" spans="1:6" x14ac:dyDescent="0.25">
      <c r="A66" t="s">
        <v>6</v>
      </c>
      <c r="B66">
        <v>89.9</v>
      </c>
      <c r="D66">
        <v>89.76</v>
      </c>
      <c r="F66" s="4">
        <f t="shared" si="0"/>
        <v>-0.14000000000000057</v>
      </c>
    </row>
    <row r="67" spans="1:6" x14ac:dyDescent="0.25">
      <c r="A67" t="s">
        <v>152</v>
      </c>
      <c r="B67" s="3">
        <v>1129</v>
      </c>
      <c r="D67" s="3">
        <v>1110.3</v>
      </c>
      <c r="F67" s="4">
        <f t="shared" ref="F67:F130" si="1">D67-B67</f>
        <v>-18.700000000000045</v>
      </c>
    </row>
    <row r="68" spans="1:6" x14ac:dyDescent="0.25">
      <c r="A68" t="s">
        <v>199</v>
      </c>
      <c r="B68" s="3">
        <v>2090</v>
      </c>
      <c r="D68" s="3">
        <v>2135.1999999999998</v>
      </c>
      <c r="F68" s="4">
        <f t="shared" si="1"/>
        <v>45.199999999999818</v>
      </c>
    </row>
    <row r="69" spans="1:6" x14ac:dyDescent="0.25">
      <c r="A69" t="s">
        <v>94</v>
      </c>
      <c r="B69" s="3">
        <v>2791.1</v>
      </c>
      <c r="D69" s="3">
        <v>2820</v>
      </c>
      <c r="F69" s="4">
        <f t="shared" si="1"/>
        <v>28.900000000000091</v>
      </c>
    </row>
    <row r="70" spans="1:6" x14ac:dyDescent="0.25">
      <c r="A70" t="s">
        <v>127</v>
      </c>
      <c r="B70" s="3">
        <v>4810</v>
      </c>
      <c r="D70" s="3">
        <v>4867</v>
      </c>
      <c r="F70" s="4">
        <f t="shared" si="1"/>
        <v>57</v>
      </c>
    </row>
    <row r="71" spans="1:6" x14ac:dyDescent="0.25">
      <c r="A71" t="s">
        <v>194</v>
      </c>
      <c r="B71" s="3">
        <v>1495.5</v>
      </c>
      <c r="D71" s="3">
        <v>1463.7</v>
      </c>
      <c r="F71" s="4">
        <f t="shared" si="1"/>
        <v>-31.799999999999955</v>
      </c>
    </row>
    <row r="72" spans="1:6" x14ac:dyDescent="0.25">
      <c r="A72" t="s">
        <v>11</v>
      </c>
      <c r="B72" s="3">
        <v>1490</v>
      </c>
      <c r="D72" s="3">
        <v>1494.6</v>
      </c>
      <c r="F72" s="4">
        <f t="shared" si="1"/>
        <v>4.5999999999999091</v>
      </c>
    </row>
    <row r="73" spans="1:6" x14ac:dyDescent="0.25">
      <c r="A73" t="s">
        <v>148</v>
      </c>
      <c r="B73" s="3">
        <v>5551.5</v>
      </c>
      <c r="D73" s="3">
        <v>5748</v>
      </c>
      <c r="F73" s="4">
        <f t="shared" si="1"/>
        <v>196.5</v>
      </c>
    </row>
    <row r="74" spans="1:6" x14ac:dyDescent="0.25">
      <c r="A74" t="s">
        <v>173</v>
      </c>
      <c r="B74">
        <v>974.3</v>
      </c>
      <c r="D74">
        <v>981.5</v>
      </c>
      <c r="F74" s="4">
        <f t="shared" si="1"/>
        <v>7.2000000000000455</v>
      </c>
    </row>
    <row r="75" spans="1:6" x14ac:dyDescent="0.25">
      <c r="A75" t="s">
        <v>95</v>
      </c>
      <c r="B75">
        <v>742.2</v>
      </c>
      <c r="D75">
        <v>757.95</v>
      </c>
      <c r="F75" s="4">
        <f t="shared" si="1"/>
        <v>15.75</v>
      </c>
    </row>
    <row r="76" spans="1:6" x14ac:dyDescent="0.25">
      <c r="A76" t="s">
        <v>166</v>
      </c>
      <c r="B76" s="3">
        <v>5500</v>
      </c>
      <c r="D76" s="3">
        <v>5581.5</v>
      </c>
      <c r="F76" s="4">
        <f t="shared" si="1"/>
        <v>81.5</v>
      </c>
    </row>
    <row r="77" spans="1:6" x14ac:dyDescent="0.25">
      <c r="A77" t="s">
        <v>72</v>
      </c>
      <c r="B77">
        <v>75.510000000000005</v>
      </c>
      <c r="D77">
        <v>77.38</v>
      </c>
      <c r="F77" s="4">
        <f t="shared" si="1"/>
        <v>1.8699999999999903</v>
      </c>
    </row>
    <row r="78" spans="1:6" x14ac:dyDescent="0.25">
      <c r="A78" t="s">
        <v>67</v>
      </c>
      <c r="B78">
        <v>772.25</v>
      </c>
      <c r="D78">
        <v>764.75</v>
      </c>
      <c r="F78" s="4">
        <f t="shared" si="1"/>
        <v>-7.5</v>
      </c>
    </row>
    <row r="79" spans="1:6" x14ac:dyDescent="0.25">
      <c r="A79" t="s">
        <v>136</v>
      </c>
      <c r="B79">
        <v>454.5</v>
      </c>
      <c r="D79">
        <v>449.3</v>
      </c>
      <c r="F79" s="4">
        <f t="shared" si="1"/>
        <v>-5.1999999999999886</v>
      </c>
    </row>
    <row r="80" spans="1:6" x14ac:dyDescent="0.25">
      <c r="A80" t="s">
        <v>83</v>
      </c>
      <c r="B80" s="3">
        <v>2519.1999999999998</v>
      </c>
      <c r="D80" s="3">
        <v>2514.8000000000002</v>
      </c>
      <c r="F80" s="4">
        <f t="shared" si="1"/>
        <v>-4.3999999999996362</v>
      </c>
    </row>
    <row r="81" spans="1:6" x14ac:dyDescent="0.25">
      <c r="A81" t="s">
        <v>5</v>
      </c>
      <c r="B81">
        <v>498.3</v>
      </c>
      <c r="D81">
        <v>509.95</v>
      </c>
      <c r="F81" s="4">
        <f t="shared" si="1"/>
        <v>11.649999999999977</v>
      </c>
    </row>
    <row r="82" spans="1:6" x14ac:dyDescent="0.25">
      <c r="A82" t="s">
        <v>59</v>
      </c>
      <c r="B82">
        <v>230.89</v>
      </c>
      <c r="D82">
        <v>229.62</v>
      </c>
      <c r="F82" s="4">
        <f t="shared" si="1"/>
        <v>-1.2699999999999818</v>
      </c>
    </row>
    <row r="83" spans="1:6" x14ac:dyDescent="0.25">
      <c r="A83" t="s">
        <v>129</v>
      </c>
      <c r="B83" s="3">
        <v>1373.1</v>
      </c>
      <c r="D83" s="3">
        <v>1396.1</v>
      </c>
      <c r="F83" s="4">
        <f t="shared" si="1"/>
        <v>23</v>
      </c>
    </row>
    <row r="84" spans="1:6" x14ac:dyDescent="0.25">
      <c r="A84" t="s">
        <v>147</v>
      </c>
      <c r="B84" s="3">
        <v>1856</v>
      </c>
      <c r="D84" s="3">
        <v>2006.2</v>
      </c>
      <c r="F84" s="4">
        <f t="shared" si="1"/>
        <v>150.20000000000005</v>
      </c>
    </row>
    <row r="85" spans="1:6" x14ac:dyDescent="0.25">
      <c r="A85" t="s">
        <v>151</v>
      </c>
      <c r="B85">
        <v>597</v>
      </c>
      <c r="D85">
        <v>582.9</v>
      </c>
      <c r="F85" s="4">
        <f t="shared" si="1"/>
        <v>-14.100000000000023</v>
      </c>
    </row>
    <row r="86" spans="1:6" x14ac:dyDescent="0.25">
      <c r="A86" t="s">
        <v>150</v>
      </c>
      <c r="B86">
        <v>9.02</v>
      </c>
      <c r="D86">
        <v>8.67</v>
      </c>
      <c r="F86" s="4">
        <f t="shared" si="1"/>
        <v>-0.34999999999999964</v>
      </c>
    </row>
    <row r="87" spans="1:6" x14ac:dyDescent="0.25">
      <c r="A87" t="s">
        <v>19</v>
      </c>
      <c r="B87">
        <v>74.349999999999994</v>
      </c>
      <c r="D87">
        <v>73.319999999999993</v>
      </c>
      <c r="F87" s="4">
        <f t="shared" si="1"/>
        <v>-1.0300000000000011</v>
      </c>
    </row>
    <row r="88" spans="1:6" x14ac:dyDescent="0.25">
      <c r="A88" t="s">
        <v>90</v>
      </c>
      <c r="B88">
        <v>139</v>
      </c>
      <c r="D88">
        <v>134.91999999999999</v>
      </c>
      <c r="F88" s="4">
        <f t="shared" si="1"/>
        <v>-4.0800000000000125</v>
      </c>
    </row>
    <row r="89" spans="1:6" x14ac:dyDescent="0.25">
      <c r="A89" t="s">
        <v>47</v>
      </c>
      <c r="B89">
        <v>215</v>
      </c>
      <c r="D89">
        <v>212.06</v>
      </c>
      <c r="F89" s="4">
        <f t="shared" si="1"/>
        <v>-2.9399999999999977</v>
      </c>
    </row>
    <row r="90" spans="1:6" x14ac:dyDescent="0.25">
      <c r="A90" t="s">
        <v>52</v>
      </c>
      <c r="B90">
        <v>488.3</v>
      </c>
      <c r="D90">
        <v>506.75</v>
      </c>
      <c r="F90" s="4">
        <f t="shared" si="1"/>
        <v>18.449999999999989</v>
      </c>
    </row>
    <row r="91" spans="1:6" x14ac:dyDescent="0.25">
      <c r="A91" t="s">
        <v>139</v>
      </c>
      <c r="B91">
        <v>733</v>
      </c>
      <c r="D91">
        <v>721</v>
      </c>
      <c r="F91" s="4">
        <f t="shared" si="1"/>
        <v>-12</v>
      </c>
    </row>
    <row r="92" spans="1:6" x14ac:dyDescent="0.25">
      <c r="A92" t="s">
        <v>138</v>
      </c>
      <c r="B92">
        <v>776.25</v>
      </c>
      <c r="D92">
        <v>778.1</v>
      </c>
      <c r="F92" s="4">
        <f t="shared" si="1"/>
        <v>1.8500000000000227</v>
      </c>
    </row>
    <row r="93" spans="1:6" x14ac:dyDescent="0.25">
      <c r="A93" t="s">
        <v>24</v>
      </c>
      <c r="B93" s="3">
        <v>5758</v>
      </c>
      <c r="D93" s="3">
        <v>5853.5</v>
      </c>
      <c r="F93" s="4">
        <f t="shared" si="1"/>
        <v>95.5</v>
      </c>
    </row>
    <row r="94" spans="1:6" x14ac:dyDescent="0.25">
      <c r="A94" t="s">
        <v>62</v>
      </c>
      <c r="B94">
        <v>758</v>
      </c>
      <c r="D94">
        <v>742.5</v>
      </c>
      <c r="F94" s="4">
        <f t="shared" si="1"/>
        <v>-15.5</v>
      </c>
    </row>
    <row r="95" spans="1:6" x14ac:dyDescent="0.25">
      <c r="A95" t="s">
        <v>178</v>
      </c>
      <c r="B95">
        <v>354</v>
      </c>
      <c r="D95">
        <v>344.5</v>
      </c>
      <c r="F95" s="4">
        <f t="shared" si="1"/>
        <v>-9.5</v>
      </c>
    </row>
    <row r="96" spans="1:6" x14ac:dyDescent="0.25">
      <c r="A96" t="s">
        <v>61</v>
      </c>
      <c r="B96" s="3">
        <v>1497</v>
      </c>
      <c r="D96" s="3">
        <v>1473.3</v>
      </c>
      <c r="F96" s="4">
        <f t="shared" si="1"/>
        <v>-23.700000000000045</v>
      </c>
    </row>
    <row r="97" spans="1:6" x14ac:dyDescent="0.25">
      <c r="A97" t="s">
        <v>7</v>
      </c>
      <c r="B97">
        <v>149</v>
      </c>
      <c r="D97">
        <v>149.16999999999999</v>
      </c>
      <c r="F97" s="4">
        <f t="shared" si="1"/>
        <v>0.16999999999998749</v>
      </c>
    </row>
    <row r="98" spans="1:6" x14ac:dyDescent="0.25">
      <c r="A98" t="s">
        <v>27</v>
      </c>
      <c r="B98">
        <v>153.71</v>
      </c>
      <c r="D98">
        <v>154.31</v>
      </c>
      <c r="F98" s="4">
        <f t="shared" si="1"/>
        <v>0.59999999999999432</v>
      </c>
    </row>
    <row r="99" spans="1:6" x14ac:dyDescent="0.25">
      <c r="A99" t="s">
        <v>91</v>
      </c>
      <c r="B99">
        <v>710</v>
      </c>
      <c r="D99">
        <v>715.85</v>
      </c>
      <c r="F99" s="4">
        <f t="shared" si="1"/>
        <v>5.8500000000000227</v>
      </c>
    </row>
    <row r="100" spans="1:6" x14ac:dyDescent="0.25">
      <c r="A100" t="s">
        <v>167</v>
      </c>
      <c r="B100">
        <v>149.9</v>
      </c>
      <c r="D100">
        <v>157.37</v>
      </c>
      <c r="F100" s="4">
        <f t="shared" si="1"/>
        <v>7.4699999999999989</v>
      </c>
    </row>
    <row r="101" spans="1:6" x14ac:dyDescent="0.25">
      <c r="A101" t="s">
        <v>125</v>
      </c>
      <c r="B101">
        <v>125.05</v>
      </c>
      <c r="D101">
        <v>126.77</v>
      </c>
      <c r="F101" s="4">
        <f t="shared" si="1"/>
        <v>1.7199999999999989</v>
      </c>
    </row>
    <row r="102" spans="1:6" x14ac:dyDescent="0.25">
      <c r="A102" t="s">
        <v>162</v>
      </c>
      <c r="B102">
        <v>400</v>
      </c>
      <c r="D102">
        <v>399.85</v>
      </c>
      <c r="F102" s="4">
        <f t="shared" si="1"/>
        <v>-0.14999999999997726</v>
      </c>
    </row>
    <row r="103" spans="1:6" x14ac:dyDescent="0.25">
      <c r="A103" t="s">
        <v>35</v>
      </c>
      <c r="B103" s="3">
        <v>1015.2</v>
      </c>
      <c r="D103">
        <v>994.9</v>
      </c>
      <c r="F103" s="4">
        <f t="shared" si="1"/>
        <v>-20.300000000000068</v>
      </c>
    </row>
    <row r="104" spans="1:6" x14ac:dyDescent="0.25">
      <c r="A104" t="s">
        <v>77</v>
      </c>
      <c r="B104">
        <v>306</v>
      </c>
      <c r="D104">
        <v>312</v>
      </c>
      <c r="F104" s="4">
        <f t="shared" si="1"/>
        <v>6</v>
      </c>
    </row>
    <row r="105" spans="1:6" x14ac:dyDescent="0.25">
      <c r="A105" t="s">
        <v>93</v>
      </c>
      <c r="B105">
        <v>543</v>
      </c>
      <c r="D105">
        <v>545.15</v>
      </c>
      <c r="F105" s="4">
        <f t="shared" si="1"/>
        <v>2.1499999999999773</v>
      </c>
    </row>
    <row r="106" spans="1:6" x14ac:dyDescent="0.25">
      <c r="A106" t="s">
        <v>16</v>
      </c>
      <c r="B106" s="3">
        <v>1160.9000000000001</v>
      </c>
      <c r="D106" s="3">
        <v>1159.9000000000001</v>
      </c>
      <c r="F106" s="4">
        <f t="shared" si="1"/>
        <v>-1</v>
      </c>
    </row>
    <row r="107" spans="1:6" x14ac:dyDescent="0.25">
      <c r="A107" t="s">
        <v>177</v>
      </c>
      <c r="B107">
        <v>602.29999999999995</v>
      </c>
      <c r="D107">
        <v>583.79999999999995</v>
      </c>
      <c r="F107" s="4">
        <f t="shared" si="1"/>
        <v>-18.5</v>
      </c>
    </row>
    <row r="108" spans="1:6" x14ac:dyDescent="0.25">
      <c r="A108" t="s">
        <v>137</v>
      </c>
      <c r="B108">
        <v>483</v>
      </c>
      <c r="D108">
        <v>478</v>
      </c>
      <c r="F108" s="4">
        <f t="shared" si="1"/>
        <v>-5</v>
      </c>
    </row>
    <row r="109" spans="1:6" x14ac:dyDescent="0.25">
      <c r="A109" t="s">
        <v>193</v>
      </c>
      <c r="B109" s="3">
        <v>7070</v>
      </c>
      <c r="D109" s="3">
        <v>6958</v>
      </c>
      <c r="F109" s="4">
        <f t="shared" si="1"/>
        <v>-112</v>
      </c>
    </row>
    <row r="110" spans="1:6" x14ac:dyDescent="0.25">
      <c r="A110" t="s">
        <v>140</v>
      </c>
      <c r="B110" s="3">
        <v>4250</v>
      </c>
      <c r="D110" s="3">
        <v>4366.5</v>
      </c>
      <c r="F110" s="4">
        <f t="shared" si="1"/>
        <v>116.5</v>
      </c>
    </row>
    <row r="111" spans="1:6" x14ac:dyDescent="0.25">
      <c r="A111" t="s">
        <v>25</v>
      </c>
      <c r="B111" s="3">
        <v>1090</v>
      </c>
      <c r="D111" s="3">
        <v>1128.7</v>
      </c>
      <c r="F111" s="4">
        <f t="shared" si="1"/>
        <v>38.700000000000045</v>
      </c>
    </row>
    <row r="112" spans="1:6" x14ac:dyDescent="0.25">
      <c r="A112" t="s">
        <v>32</v>
      </c>
      <c r="B112" s="3">
        <v>2136</v>
      </c>
      <c r="D112" s="3">
        <v>2146.8000000000002</v>
      </c>
      <c r="F112" s="4">
        <f t="shared" si="1"/>
        <v>10.800000000000182</v>
      </c>
    </row>
    <row r="113" spans="1:6" x14ac:dyDescent="0.25">
      <c r="A113" t="s">
        <v>203</v>
      </c>
      <c r="B113" s="3">
        <v>1145</v>
      </c>
      <c r="D113" s="3">
        <v>1161.8</v>
      </c>
      <c r="F113" s="4">
        <f t="shared" si="1"/>
        <v>16.799999999999955</v>
      </c>
    </row>
    <row r="114" spans="1:6" x14ac:dyDescent="0.25">
      <c r="A114" t="s">
        <v>54</v>
      </c>
      <c r="B114">
        <v>877.45</v>
      </c>
      <c r="D114">
        <v>872.6</v>
      </c>
      <c r="F114" s="4">
        <f t="shared" si="1"/>
        <v>-4.8500000000000227</v>
      </c>
    </row>
    <row r="115" spans="1:6" x14ac:dyDescent="0.25">
      <c r="A115" t="s">
        <v>143</v>
      </c>
      <c r="B115">
        <v>565</v>
      </c>
      <c r="D115">
        <v>571.9</v>
      </c>
      <c r="F115" s="4">
        <f t="shared" si="1"/>
        <v>6.8999999999999773</v>
      </c>
    </row>
    <row r="116" spans="1:6" x14ac:dyDescent="0.25">
      <c r="A116" t="s">
        <v>153</v>
      </c>
      <c r="B116">
        <v>892.1</v>
      </c>
      <c r="D116">
        <v>899.1</v>
      </c>
      <c r="F116" s="4">
        <f t="shared" si="1"/>
        <v>7</v>
      </c>
    </row>
    <row r="117" spans="1:6" x14ac:dyDescent="0.25">
      <c r="A117" t="s">
        <v>184</v>
      </c>
      <c r="B117" s="3">
        <v>1155</v>
      </c>
      <c r="D117" s="3">
        <v>1177.8</v>
      </c>
      <c r="F117" s="4">
        <f t="shared" si="1"/>
        <v>22.799999999999955</v>
      </c>
    </row>
    <row r="118" spans="1:6" x14ac:dyDescent="0.25">
      <c r="A118" t="s">
        <v>75</v>
      </c>
      <c r="B118" s="3">
        <v>3780</v>
      </c>
      <c r="D118" s="3">
        <v>3836.4</v>
      </c>
      <c r="F118" s="4">
        <f t="shared" si="1"/>
        <v>56.400000000000091</v>
      </c>
    </row>
    <row r="119" spans="1:6" x14ac:dyDescent="0.25">
      <c r="A119" t="s">
        <v>28</v>
      </c>
      <c r="B119">
        <v>255.25</v>
      </c>
      <c r="D119">
        <v>269.55</v>
      </c>
      <c r="F119" s="4">
        <f t="shared" si="1"/>
        <v>14.300000000000011</v>
      </c>
    </row>
    <row r="120" spans="1:6" x14ac:dyDescent="0.25">
      <c r="A120" t="s">
        <v>42</v>
      </c>
      <c r="B120" s="3">
        <v>5450</v>
      </c>
      <c r="D120" s="3">
        <v>5565</v>
      </c>
      <c r="F120" s="4">
        <f t="shared" si="1"/>
        <v>115</v>
      </c>
    </row>
    <row r="121" spans="1:6" x14ac:dyDescent="0.25">
      <c r="A121" t="s">
        <v>9</v>
      </c>
      <c r="B121" s="3">
        <v>1950.1</v>
      </c>
      <c r="D121" s="3">
        <v>1952.2</v>
      </c>
      <c r="F121" s="4">
        <f t="shared" si="1"/>
        <v>2.1000000000001364</v>
      </c>
    </row>
    <row r="122" spans="1:6" x14ac:dyDescent="0.25">
      <c r="A122" t="s">
        <v>114</v>
      </c>
      <c r="B122" s="3">
        <v>3432</v>
      </c>
      <c r="D122" s="3">
        <v>3496.1</v>
      </c>
      <c r="F122" s="4">
        <f t="shared" si="1"/>
        <v>64.099999999999909</v>
      </c>
    </row>
    <row r="123" spans="1:6" x14ac:dyDescent="0.25">
      <c r="A123" t="s">
        <v>135</v>
      </c>
      <c r="B123">
        <v>285.2</v>
      </c>
      <c r="D123">
        <v>288.89999999999998</v>
      </c>
      <c r="F123" s="4">
        <f t="shared" si="1"/>
        <v>3.6999999999999886</v>
      </c>
    </row>
    <row r="124" spans="1:6" x14ac:dyDescent="0.25">
      <c r="A124" t="s">
        <v>132</v>
      </c>
      <c r="B124" s="3">
        <v>2466.8000000000002</v>
      </c>
      <c r="D124" s="3">
        <v>2444.6</v>
      </c>
      <c r="F124" s="4">
        <f t="shared" si="1"/>
        <v>-22.200000000000273</v>
      </c>
    </row>
    <row r="125" spans="1:6" x14ac:dyDescent="0.25">
      <c r="A125" t="s">
        <v>159</v>
      </c>
      <c r="B125">
        <v>709.9</v>
      </c>
      <c r="D125">
        <v>709.2</v>
      </c>
      <c r="F125" s="4">
        <f t="shared" si="1"/>
        <v>-0.69999999999993179</v>
      </c>
    </row>
    <row r="126" spans="1:6" x14ac:dyDescent="0.25">
      <c r="A126" t="s">
        <v>196</v>
      </c>
      <c r="B126" s="3">
        <v>16264</v>
      </c>
      <c r="D126" s="3">
        <v>16300</v>
      </c>
      <c r="F126" s="4">
        <f t="shared" si="1"/>
        <v>36</v>
      </c>
    </row>
    <row r="127" spans="1:6" x14ac:dyDescent="0.25">
      <c r="A127" t="s">
        <v>34</v>
      </c>
      <c r="B127" s="3">
        <v>1154</v>
      </c>
      <c r="D127" s="3">
        <v>1162</v>
      </c>
      <c r="F127" s="4">
        <f t="shared" si="1"/>
        <v>8</v>
      </c>
    </row>
    <row r="128" spans="1:6" x14ac:dyDescent="0.25">
      <c r="A128" t="s">
        <v>66</v>
      </c>
      <c r="B128" s="3">
        <v>2850</v>
      </c>
      <c r="D128" s="3">
        <v>2864.3</v>
      </c>
      <c r="F128" s="4">
        <f t="shared" si="1"/>
        <v>14.300000000000182</v>
      </c>
    </row>
    <row r="129" spans="1:6" x14ac:dyDescent="0.25">
      <c r="A129" t="s">
        <v>1</v>
      </c>
      <c r="B129" s="3">
        <v>8700</v>
      </c>
      <c r="D129" s="3">
        <v>9479</v>
      </c>
      <c r="F129" s="4">
        <f t="shared" si="1"/>
        <v>779</v>
      </c>
    </row>
    <row r="130" spans="1:6" x14ac:dyDescent="0.25">
      <c r="A130" t="s">
        <v>36</v>
      </c>
      <c r="B130" s="3">
        <v>1581.9</v>
      </c>
      <c r="D130" s="3">
        <v>1606.7</v>
      </c>
      <c r="F130" s="4">
        <f t="shared" si="1"/>
        <v>24.799999999999955</v>
      </c>
    </row>
    <row r="131" spans="1:6" x14ac:dyDescent="0.25">
      <c r="A131" t="s">
        <v>48</v>
      </c>
      <c r="B131">
        <v>103</v>
      </c>
      <c r="D131">
        <v>104.17</v>
      </c>
      <c r="F131" s="4">
        <f t="shared" ref="F131:F194" si="2">D131-B131</f>
        <v>1.1700000000000017</v>
      </c>
    </row>
    <row r="132" spans="1:6" x14ac:dyDescent="0.25">
      <c r="A132" t="s">
        <v>146</v>
      </c>
      <c r="B132" s="3">
        <v>2770</v>
      </c>
      <c r="D132" s="3">
        <v>2787.2</v>
      </c>
      <c r="F132" s="4">
        <f t="shared" si="2"/>
        <v>17.199999999999818</v>
      </c>
    </row>
    <row r="133" spans="1:6" x14ac:dyDescent="0.25">
      <c r="A133" t="s">
        <v>200</v>
      </c>
      <c r="B133" s="3">
        <v>3145.9</v>
      </c>
      <c r="D133" s="3">
        <v>3252</v>
      </c>
      <c r="F133" s="4">
        <f t="shared" si="2"/>
        <v>106.09999999999991</v>
      </c>
    </row>
    <row r="134" spans="1:6" x14ac:dyDescent="0.25">
      <c r="A134" t="s">
        <v>10</v>
      </c>
      <c r="B134">
        <v>223</v>
      </c>
      <c r="D134">
        <v>226.65</v>
      </c>
      <c r="F134" s="4">
        <f t="shared" si="2"/>
        <v>3.6500000000000057</v>
      </c>
    </row>
    <row r="135" spans="1:6" x14ac:dyDescent="0.25">
      <c r="A135" t="s">
        <v>207</v>
      </c>
      <c r="B135" s="3">
        <v>1330.1</v>
      </c>
      <c r="D135" s="3">
        <v>1329</v>
      </c>
      <c r="F135" s="4">
        <f t="shared" si="2"/>
        <v>-1.0999999999999091</v>
      </c>
    </row>
    <row r="136" spans="1:6" x14ac:dyDescent="0.25">
      <c r="A136" t="s">
        <v>26</v>
      </c>
      <c r="B136">
        <v>111.97</v>
      </c>
      <c r="D136">
        <v>110.95</v>
      </c>
      <c r="F136" s="4">
        <f t="shared" si="2"/>
        <v>-1.019999999999996</v>
      </c>
    </row>
    <row r="137" spans="1:6" x14ac:dyDescent="0.25">
      <c r="A137" t="s">
        <v>70</v>
      </c>
      <c r="B137">
        <v>209</v>
      </c>
      <c r="D137">
        <v>209.23</v>
      </c>
      <c r="F137" s="4">
        <f t="shared" si="2"/>
        <v>0.22999999999998977</v>
      </c>
    </row>
    <row r="138" spans="1:6" x14ac:dyDescent="0.25">
      <c r="A138" t="s">
        <v>163</v>
      </c>
      <c r="B138" s="3">
        <v>1199</v>
      </c>
      <c r="D138" s="3">
        <v>1214.5999999999999</v>
      </c>
      <c r="F138" s="4">
        <f t="shared" si="2"/>
        <v>15.599999999999909</v>
      </c>
    </row>
    <row r="139" spans="1:6" x14ac:dyDescent="0.25">
      <c r="A139" t="s">
        <v>20</v>
      </c>
      <c r="B139">
        <v>86.25</v>
      </c>
      <c r="D139">
        <v>87.31</v>
      </c>
      <c r="F139" s="4">
        <f t="shared" si="2"/>
        <v>1.0600000000000023</v>
      </c>
    </row>
    <row r="140" spans="1:6" x14ac:dyDescent="0.25">
      <c r="A140" t="s">
        <v>12</v>
      </c>
      <c r="B140">
        <v>77</v>
      </c>
      <c r="D140">
        <v>76.83</v>
      </c>
      <c r="F140" s="4">
        <f t="shared" si="2"/>
        <v>-0.17000000000000171</v>
      </c>
    </row>
    <row r="141" spans="1:6" x14ac:dyDescent="0.25">
      <c r="A141" t="s">
        <v>119</v>
      </c>
      <c r="B141">
        <v>337.95</v>
      </c>
      <c r="D141">
        <v>340.35</v>
      </c>
      <c r="F141" s="4">
        <f t="shared" si="2"/>
        <v>2.4000000000000341</v>
      </c>
    </row>
    <row r="142" spans="1:6" x14ac:dyDescent="0.25">
      <c r="A142" t="s">
        <v>116</v>
      </c>
      <c r="B142" s="3">
        <v>7210</v>
      </c>
      <c r="D142" s="3">
        <v>7226</v>
      </c>
      <c r="F142" s="4">
        <f t="shared" si="2"/>
        <v>16</v>
      </c>
    </row>
    <row r="143" spans="1:6" x14ac:dyDescent="0.25">
      <c r="A143" t="s">
        <v>13</v>
      </c>
      <c r="B143">
        <v>264</v>
      </c>
      <c r="D143">
        <v>259.8</v>
      </c>
      <c r="F143" s="4">
        <f t="shared" si="2"/>
        <v>-4.1999999999999886</v>
      </c>
    </row>
    <row r="144" spans="1:6" x14ac:dyDescent="0.25">
      <c r="A144" t="s">
        <v>117</v>
      </c>
      <c r="B144" s="3">
        <v>1592.2</v>
      </c>
      <c r="D144" s="3">
        <v>1603.5</v>
      </c>
      <c r="F144" s="4">
        <f t="shared" si="2"/>
        <v>11.299999999999955</v>
      </c>
    </row>
    <row r="145" spans="1:6" x14ac:dyDescent="0.25">
      <c r="A145" t="s">
        <v>33</v>
      </c>
      <c r="B145" s="3">
        <v>9190</v>
      </c>
      <c r="D145" s="3">
        <v>8772.5</v>
      </c>
      <c r="F145" s="4">
        <f t="shared" si="2"/>
        <v>-417.5</v>
      </c>
    </row>
    <row r="146" spans="1:6" x14ac:dyDescent="0.25">
      <c r="A146" t="s">
        <v>100</v>
      </c>
      <c r="B146">
        <v>415</v>
      </c>
      <c r="D146">
        <v>420</v>
      </c>
      <c r="F146" s="4">
        <f t="shared" si="2"/>
        <v>5</v>
      </c>
    </row>
    <row r="147" spans="1:6" x14ac:dyDescent="0.25">
      <c r="A147" t="s">
        <v>68</v>
      </c>
      <c r="B147">
        <v>245</v>
      </c>
      <c r="D147">
        <v>247.31</v>
      </c>
      <c r="F147" s="4">
        <f t="shared" si="2"/>
        <v>2.3100000000000023</v>
      </c>
    </row>
    <row r="148" spans="1:6" x14ac:dyDescent="0.25">
      <c r="A148" t="s">
        <v>161</v>
      </c>
      <c r="B148" s="3">
        <v>41325</v>
      </c>
      <c r="D148" s="3">
        <v>40360</v>
      </c>
      <c r="F148" s="4">
        <f t="shared" si="2"/>
        <v>-965</v>
      </c>
    </row>
    <row r="149" spans="1:6" x14ac:dyDescent="0.25">
      <c r="A149" t="s">
        <v>175</v>
      </c>
      <c r="B149">
        <v>590</v>
      </c>
      <c r="D149">
        <v>583.4</v>
      </c>
      <c r="F149" s="4">
        <f t="shared" si="2"/>
        <v>-6.6000000000000227</v>
      </c>
    </row>
    <row r="150" spans="1:6" x14ac:dyDescent="0.25">
      <c r="A150" t="s">
        <v>89</v>
      </c>
      <c r="B150" s="3">
        <v>1235</v>
      </c>
      <c r="D150" s="3">
        <v>1279.4000000000001</v>
      </c>
      <c r="F150" s="4">
        <f t="shared" si="2"/>
        <v>44.400000000000091</v>
      </c>
    </row>
    <row r="151" spans="1:6" x14ac:dyDescent="0.25">
      <c r="A151" t="s">
        <v>38</v>
      </c>
      <c r="B151" s="3">
        <v>5327.9</v>
      </c>
      <c r="D151" s="3">
        <v>5669.5</v>
      </c>
      <c r="F151" s="4">
        <f t="shared" si="2"/>
        <v>341.60000000000036</v>
      </c>
    </row>
    <row r="152" spans="1:6" x14ac:dyDescent="0.25">
      <c r="A152" t="s">
        <v>145</v>
      </c>
      <c r="B152">
        <v>279.8</v>
      </c>
      <c r="D152">
        <v>281</v>
      </c>
      <c r="F152" s="4">
        <f t="shared" si="2"/>
        <v>1.1999999999999886</v>
      </c>
    </row>
    <row r="153" spans="1:6" x14ac:dyDescent="0.25">
      <c r="A153" t="s">
        <v>131</v>
      </c>
      <c r="B153">
        <v>402</v>
      </c>
      <c r="D153">
        <v>405.5</v>
      </c>
      <c r="F153" s="4">
        <f t="shared" si="2"/>
        <v>3.5</v>
      </c>
    </row>
    <row r="154" spans="1:6" x14ac:dyDescent="0.25">
      <c r="A154" t="s">
        <v>0</v>
      </c>
      <c r="B154">
        <v>577.04999999999995</v>
      </c>
      <c r="D154">
        <v>575.4</v>
      </c>
      <c r="F154" s="4">
        <f t="shared" si="2"/>
        <v>-1.6499999999999773</v>
      </c>
    </row>
    <row r="155" spans="1:6" x14ac:dyDescent="0.25">
      <c r="A155" t="s">
        <v>154</v>
      </c>
      <c r="B155" s="3">
        <v>1605</v>
      </c>
      <c r="D155" s="3">
        <v>1674.9</v>
      </c>
      <c r="F155" s="4">
        <f t="shared" si="2"/>
        <v>69.900000000000091</v>
      </c>
    </row>
    <row r="156" spans="1:6" x14ac:dyDescent="0.25">
      <c r="A156" t="s">
        <v>97</v>
      </c>
      <c r="B156" s="3">
        <v>1497.7</v>
      </c>
      <c r="D156" s="3">
        <v>1498.2</v>
      </c>
      <c r="F156" s="4">
        <f t="shared" si="2"/>
        <v>0.5</v>
      </c>
    </row>
    <row r="157" spans="1:6" x14ac:dyDescent="0.25">
      <c r="A157" t="s">
        <v>110</v>
      </c>
      <c r="B157" s="3">
        <v>3524.7</v>
      </c>
      <c r="D157" s="3">
        <v>3556.8</v>
      </c>
      <c r="F157" s="4">
        <f t="shared" si="2"/>
        <v>32.100000000000364</v>
      </c>
    </row>
    <row r="158" spans="1:6" x14ac:dyDescent="0.25">
      <c r="A158" t="s">
        <v>80</v>
      </c>
      <c r="B158">
        <v>116.87</v>
      </c>
      <c r="D158">
        <v>116.92</v>
      </c>
      <c r="F158" s="4">
        <f t="shared" si="2"/>
        <v>4.9999999999997158E-2</v>
      </c>
    </row>
    <row r="159" spans="1:6" x14ac:dyDescent="0.25">
      <c r="A159" t="s">
        <v>187</v>
      </c>
      <c r="B159">
        <v>851.2</v>
      </c>
      <c r="D159">
        <v>852.05</v>
      </c>
      <c r="F159" s="4">
        <f t="shared" si="2"/>
        <v>0.84999999999990905</v>
      </c>
    </row>
    <row r="160" spans="1:6" x14ac:dyDescent="0.25">
      <c r="A160" t="s">
        <v>188</v>
      </c>
      <c r="B160" s="3">
        <v>1745.4</v>
      </c>
      <c r="D160" s="3">
        <v>1679</v>
      </c>
      <c r="F160" s="4">
        <f t="shared" si="2"/>
        <v>-66.400000000000091</v>
      </c>
    </row>
    <row r="161" spans="1:6" x14ac:dyDescent="0.25">
      <c r="A161" t="s">
        <v>130</v>
      </c>
      <c r="B161" s="3">
        <v>7700</v>
      </c>
      <c r="D161" s="3">
        <v>7665.5</v>
      </c>
      <c r="F161" s="4">
        <f t="shared" si="2"/>
        <v>-34.5</v>
      </c>
    </row>
    <row r="162" spans="1:6" x14ac:dyDescent="0.25">
      <c r="A162" t="s">
        <v>126</v>
      </c>
      <c r="B162">
        <v>287.75</v>
      </c>
      <c r="D162">
        <v>291.64999999999998</v>
      </c>
      <c r="F162" s="4">
        <f t="shared" si="2"/>
        <v>3.8999999999999773</v>
      </c>
    </row>
    <row r="163" spans="1:6" x14ac:dyDescent="0.25">
      <c r="A163" t="s">
        <v>201</v>
      </c>
      <c r="B163" s="3">
        <v>17600</v>
      </c>
      <c r="D163" s="3">
        <v>17460</v>
      </c>
      <c r="F163" s="4">
        <f t="shared" si="2"/>
        <v>-140</v>
      </c>
    </row>
    <row r="164" spans="1:6" x14ac:dyDescent="0.25">
      <c r="A164" t="s">
        <v>21</v>
      </c>
      <c r="B164">
        <v>201.52</v>
      </c>
      <c r="D164">
        <v>192.68</v>
      </c>
      <c r="F164" s="4">
        <f t="shared" si="2"/>
        <v>-8.8400000000000034</v>
      </c>
    </row>
    <row r="165" spans="1:6" x14ac:dyDescent="0.25">
      <c r="A165" t="s">
        <v>4</v>
      </c>
      <c r="B165" s="3">
        <v>1615</v>
      </c>
      <c r="D165" s="3">
        <v>1693.6</v>
      </c>
      <c r="F165" s="4">
        <f t="shared" si="2"/>
        <v>78.599999999999909</v>
      </c>
    </row>
    <row r="166" spans="1:6" x14ac:dyDescent="0.25">
      <c r="A166" t="s">
        <v>179</v>
      </c>
      <c r="B166">
        <v>289.05</v>
      </c>
      <c r="D166">
        <v>300.95</v>
      </c>
      <c r="F166" s="4">
        <f t="shared" si="2"/>
        <v>11.899999999999977</v>
      </c>
    </row>
    <row r="167" spans="1:6" x14ac:dyDescent="0.25">
      <c r="A167" t="s">
        <v>182</v>
      </c>
      <c r="B167">
        <v>372.9</v>
      </c>
      <c r="D167">
        <v>378.1</v>
      </c>
      <c r="F167" s="4">
        <f t="shared" si="2"/>
        <v>5.2000000000000455</v>
      </c>
    </row>
    <row r="168" spans="1:6" x14ac:dyDescent="0.25">
      <c r="A168" t="s">
        <v>104</v>
      </c>
      <c r="B168" s="3">
        <v>1376.9</v>
      </c>
      <c r="D168" s="3">
        <v>1378</v>
      </c>
      <c r="F168" s="4">
        <f t="shared" si="2"/>
        <v>1.0999999999999091</v>
      </c>
    </row>
    <row r="169" spans="1:6" x14ac:dyDescent="0.25">
      <c r="A169" t="s">
        <v>191</v>
      </c>
      <c r="B169">
        <v>338.75</v>
      </c>
      <c r="D169">
        <v>339</v>
      </c>
      <c r="F169" s="4">
        <f t="shared" si="2"/>
        <v>0.25</v>
      </c>
    </row>
    <row r="170" spans="1:6" x14ac:dyDescent="0.25">
      <c r="A170" t="s">
        <v>18</v>
      </c>
      <c r="B170">
        <v>131.5</v>
      </c>
      <c r="D170">
        <v>130.52000000000001</v>
      </c>
      <c r="F170" s="4">
        <f t="shared" si="2"/>
        <v>-0.97999999999998977</v>
      </c>
    </row>
    <row r="171" spans="1:6" x14ac:dyDescent="0.25">
      <c r="A171" t="s">
        <v>37</v>
      </c>
      <c r="B171">
        <v>161.55000000000001</v>
      </c>
      <c r="D171">
        <v>164.96</v>
      </c>
      <c r="F171" s="4">
        <f t="shared" si="2"/>
        <v>3.4099999999999966</v>
      </c>
    </row>
    <row r="172" spans="1:6" x14ac:dyDescent="0.25">
      <c r="A172" t="s">
        <v>176</v>
      </c>
      <c r="B172">
        <v>912.95</v>
      </c>
      <c r="D172">
        <v>932</v>
      </c>
      <c r="F172" s="4">
        <f t="shared" si="2"/>
        <v>19.049999999999955</v>
      </c>
    </row>
    <row r="173" spans="1:6" x14ac:dyDescent="0.25">
      <c r="A173" t="s">
        <v>41</v>
      </c>
      <c r="B173" s="3">
        <v>1810</v>
      </c>
      <c r="D173" s="3">
        <v>1845.7</v>
      </c>
      <c r="F173" s="4">
        <f t="shared" si="2"/>
        <v>35.700000000000045</v>
      </c>
    </row>
    <row r="174" spans="1:6" x14ac:dyDescent="0.25">
      <c r="A174" t="s">
        <v>133</v>
      </c>
      <c r="B174">
        <v>879</v>
      </c>
      <c r="D174">
        <v>885.75</v>
      </c>
      <c r="F174" s="4">
        <f t="shared" si="2"/>
        <v>6.75</v>
      </c>
    </row>
    <row r="175" spans="1:6" x14ac:dyDescent="0.25">
      <c r="A175" t="s">
        <v>46</v>
      </c>
      <c r="B175" s="3">
        <v>29425</v>
      </c>
      <c r="D175" s="3">
        <v>29920</v>
      </c>
      <c r="F175" s="4">
        <f t="shared" si="2"/>
        <v>495</v>
      </c>
    </row>
    <row r="176" spans="1:6" x14ac:dyDescent="0.25">
      <c r="A176" t="s">
        <v>109</v>
      </c>
      <c r="B176">
        <v>660</v>
      </c>
      <c r="D176">
        <v>678.95</v>
      </c>
      <c r="F176" s="4">
        <f t="shared" si="2"/>
        <v>18.950000000000045</v>
      </c>
    </row>
    <row r="177" spans="1:6" x14ac:dyDescent="0.25">
      <c r="A177" t="s">
        <v>206</v>
      </c>
      <c r="B177" s="3">
        <v>3147.3</v>
      </c>
      <c r="D177" s="3">
        <v>3142</v>
      </c>
      <c r="F177" s="4">
        <f t="shared" si="2"/>
        <v>-5.3000000000001819</v>
      </c>
    </row>
    <row r="178" spans="1:6" x14ac:dyDescent="0.25">
      <c r="A178" t="s">
        <v>96</v>
      </c>
      <c r="B178" s="3">
        <v>14054</v>
      </c>
      <c r="D178" s="3">
        <v>14054</v>
      </c>
      <c r="F178" s="4">
        <f t="shared" si="2"/>
        <v>0</v>
      </c>
    </row>
    <row r="179" spans="1:6" x14ac:dyDescent="0.25">
      <c r="A179" t="s">
        <v>2</v>
      </c>
      <c r="B179">
        <v>434</v>
      </c>
      <c r="D179">
        <v>451.6</v>
      </c>
      <c r="F179" s="4">
        <f t="shared" si="2"/>
        <v>17.600000000000023</v>
      </c>
    </row>
    <row r="180" spans="1:6" x14ac:dyDescent="0.25">
      <c r="A180" t="s">
        <v>113</v>
      </c>
      <c r="B180" s="3">
        <v>3006</v>
      </c>
      <c r="D180" s="3">
        <v>3095</v>
      </c>
      <c r="F180" s="4">
        <f t="shared" si="2"/>
        <v>89</v>
      </c>
    </row>
    <row r="181" spans="1:6" x14ac:dyDescent="0.25">
      <c r="A181" t="s">
        <v>64</v>
      </c>
      <c r="B181" s="3">
        <v>1662.5</v>
      </c>
      <c r="D181" s="3">
        <v>1656.3</v>
      </c>
      <c r="F181" s="4">
        <f t="shared" si="2"/>
        <v>-6.2000000000000455</v>
      </c>
    </row>
    <row r="182" spans="1:6" x14ac:dyDescent="0.25">
      <c r="A182" t="s">
        <v>101</v>
      </c>
      <c r="B182" s="3">
        <v>4150.1000000000004</v>
      </c>
      <c r="D182" s="3">
        <v>4196.2</v>
      </c>
      <c r="F182" s="4">
        <f t="shared" si="2"/>
        <v>46.099999999999454</v>
      </c>
    </row>
    <row r="183" spans="1:6" x14ac:dyDescent="0.25">
      <c r="A183" t="s">
        <v>86</v>
      </c>
      <c r="B183">
        <v>54.29</v>
      </c>
      <c r="D183">
        <v>54.09</v>
      </c>
      <c r="F183" s="4">
        <f t="shared" si="2"/>
        <v>-0.19999999999999574</v>
      </c>
    </row>
    <row r="184" spans="1:6" x14ac:dyDescent="0.25">
      <c r="A184" t="s">
        <v>40</v>
      </c>
      <c r="B184">
        <v>650</v>
      </c>
      <c r="D184">
        <v>626.75</v>
      </c>
      <c r="F184" s="4">
        <f t="shared" si="2"/>
        <v>-23.25</v>
      </c>
    </row>
    <row r="185" spans="1:6" x14ac:dyDescent="0.25">
      <c r="A185" t="s">
        <v>170</v>
      </c>
      <c r="B185" s="3">
        <v>1120</v>
      </c>
      <c r="D185" s="3">
        <v>1118.7</v>
      </c>
      <c r="F185" s="4">
        <f t="shared" si="2"/>
        <v>-1.2999999999999545</v>
      </c>
    </row>
    <row r="186" spans="1:6" x14ac:dyDescent="0.25">
      <c r="A186" t="s">
        <v>30</v>
      </c>
      <c r="B186" s="3">
        <v>5369.5</v>
      </c>
      <c r="D186" s="3">
        <v>5365.5</v>
      </c>
      <c r="F186" s="4">
        <f t="shared" si="2"/>
        <v>-4</v>
      </c>
    </row>
    <row r="187" spans="1:6" x14ac:dyDescent="0.25">
      <c r="A187" t="s">
        <v>205</v>
      </c>
      <c r="B187">
        <v>679</v>
      </c>
      <c r="D187">
        <v>391.35</v>
      </c>
      <c r="F187" s="4">
        <f t="shared" si="2"/>
        <v>-287.64999999999998</v>
      </c>
    </row>
    <row r="188" spans="1:6" x14ac:dyDescent="0.25">
      <c r="A188" t="s">
        <v>121</v>
      </c>
      <c r="B188">
        <v>388</v>
      </c>
      <c r="D188">
        <v>394.5</v>
      </c>
      <c r="F188" s="4">
        <f t="shared" si="2"/>
        <v>6.5</v>
      </c>
    </row>
    <row r="189" spans="1:6" x14ac:dyDescent="0.25">
      <c r="A189" t="s">
        <v>14</v>
      </c>
      <c r="B189">
        <v>173</v>
      </c>
      <c r="D189">
        <v>173.36</v>
      </c>
      <c r="F189" s="4">
        <f t="shared" si="2"/>
        <v>0.36000000000001364</v>
      </c>
    </row>
    <row r="190" spans="1:6" x14ac:dyDescent="0.25">
      <c r="A190" t="s">
        <v>85</v>
      </c>
      <c r="B190">
        <v>709.2</v>
      </c>
      <c r="D190">
        <v>694.75</v>
      </c>
      <c r="F190" s="4">
        <f t="shared" si="2"/>
        <v>-14.450000000000045</v>
      </c>
    </row>
    <row r="191" spans="1:6" x14ac:dyDescent="0.25">
      <c r="A191" t="s">
        <v>60</v>
      </c>
      <c r="B191" s="3">
        <v>3027</v>
      </c>
      <c r="D191" s="3">
        <v>2969.1</v>
      </c>
      <c r="F191" s="4">
        <f t="shared" si="2"/>
        <v>-57.900000000000091</v>
      </c>
    </row>
    <row r="192" spans="1:6" x14ac:dyDescent="0.25">
      <c r="A192" t="s">
        <v>57</v>
      </c>
      <c r="B192" s="3">
        <v>1455</v>
      </c>
      <c r="D192" s="3">
        <v>1459.2</v>
      </c>
      <c r="F192" s="4">
        <f t="shared" si="2"/>
        <v>4.2000000000000455</v>
      </c>
    </row>
    <row r="193" spans="1:6" x14ac:dyDescent="0.25">
      <c r="A193" t="s">
        <v>49</v>
      </c>
      <c r="B193" s="3">
        <v>3133</v>
      </c>
      <c r="D193" s="3">
        <v>3142</v>
      </c>
      <c r="F193" s="4">
        <f t="shared" si="2"/>
        <v>9</v>
      </c>
    </row>
    <row r="194" spans="1:6" x14ac:dyDescent="0.25">
      <c r="A194" t="s">
        <v>99</v>
      </c>
      <c r="B194">
        <v>893.2</v>
      </c>
      <c r="D194">
        <v>893.6</v>
      </c>
      <c r="F194" s="4">
        <f t="shared" si="2"/>
        <v>0.39999999999997726</v>
      </c>
    </row>
    <row r="195" spans="1:6" x14ac:dyDescent="0.25">
      <c r="A195" t="s">
        <v>190</v>
      </c>
      <c r="B195" s="3">
        <v>3518</v>
      </c>
      <c r="D195" s="3">
        <v>3527.4</v>
      </c>
      <c r="F195" s="4">
        <f t="shared" ref="F195:F210" si="3">D195-B195</f>
        <v>9.4000000000000909</v>
      </c>
    </row>
    <row r="196" spans="1:6" x14ac:dyDescent="0.25">
      <c r="A196" t="s">
        <v>197</v>
      </c>
      <c r="B196" s="3">
        <v>3515</v>
      </c>
      <c r="D196" s="3">
        <v>3549.8</v>
      </c>
      <c r="F196" s="4">
        <f t="shared" si="3"/>
        <v>34.800000000000182</v>
      </c>
    </row>
    <row r="197" spans="1:6" x14ac:dyDescent="0.25">
      <c r="A197" t="s">
        <v>63</v>
      </c>
      <c r="B197" s="3">
        <v>1236.0999999999999</v>
      </c>
      <c r="D197" s="3">
        <v>1315.1</v>
      </c>
      <c r="F197" s="4">
        <f t="shared" si="3"/>
        <v>79</v>
      </c>
    </row>
    <row r="198" spans="1:6" x14ac:dyDescent="0.25">
      <c r="A198" t="s">
        <v>118</v>
      </c>
      <c r="B198" s="3">
        <v>4677.1000000000004</v>
      </c>
      <c r="D198" s="3">
        <v>4636.7</v>
      </c>
      <c r="F198" s="4">
        <f t="shared" si="3"/>
        <v>-40.400000000000546</v>
      </c>
    </row>
    <row r="199" spans="1:6" x14ac:dyDescent="0.25">
      <c r="A199" t="s">
        <v>185</v>
      </c>
      <c r="B199" s="3">
        <v>3475.1</v>
      </c>
      <c r="D199" s="3">
        <v>3558.1</v>
      </c>
      <c r="F199" s="4">
        <f t="shared" si="3"/>
        <v>83</v>
      </c>
    </row>
    <row r="200" spans="1:6" x14ac:dyDescent="0.25">
      <c r="A200" t="s">
        <v>92</v>
      </c>
      <c r="B200" s="3">
        <v>12225</v>
      </c>
      <c r="D200" s="3">
        <v>12267</v>
      </c>
      <c r="F200" s="4">
        <f t="shared" si="3"/>
        <v>42</v>
      </c>
    </row>
    <row r="201" spans="1:6" x14ac:dyDescent="0.25">
      <c r="A201" t="s">
        <v>50</v>
      </c>
      <c r="B201">
        <v>139.27000000000001</v>
      </c>
      <c r="D201">
        <v>139.74</v>
      </c>
      <c r="F201" s="4">
        <f t="shared" si="3"/>
        <v>0.46999999999999886</v>
      </c>
    </row>
    <row r="202" spans="1:6" x14ac:dyDescent="0.25">
      <c r="A202" t="s">
        <v>105</v>
      </c>
      <c r="B202" s="3">
        <v>1337</v>
      </c>
      <c r="D202" s="3">
        <v>1322.9</v>
      </c>
      <c r="F202" s="4">
        <f t="shared" si="3"/>
        <v>-14.099999999999909</v>
      </c>
    </row>
    <row r="203" spans="1:6" x14ac:dyDescent="0.25">
      <c r="A203" t="s">
        <v>208</v>
      </c>
      <c r="B203" s="3">
        <v>1219.8</v>
      </c>
      <c r="D203" s="3">
        <v>1205.0999999999999</v>
      </c>
      <c r="F203" s="4">
        <f t="shared" si="3"/>
        <v>-14.700000000000045</v>
      </c>
    </row>
    <row r="204" spans="1:6" x14ac:dyDescent="0.25">
      <c r="A204" t="s">
        <v>169</v>
      </c>
      <c r="B204">
        <v>667</v>
      </c>
      <c r="D204">
        <v>671.45</v>
      </c>
      <c r="F204" s="4">
        <f t="shared" si="3"/>
        <v>4.4500000000000455</v>
      </c>
    </row>
    <row r="205" spans="1:6" x14ac:dyDescent="0.25">
      <c r="A205" t="s">
        <v>124</v>
      </c>
      <c r="B205">
        <v>441.75</v>
      </c>
      <c r="D205">
        <v>442.95</v>
      </c>
      <c r="F205" s="4">
        <f t="shared" si="3"/>
        <v>1.1999999999999886</v>
      </c>
    </row>
    <row r="206" spans="1:6" x14ac:dyDescent="0.25">
      <c r="A206" t="s">
        <v>45</v>
      </c>
      <c r="B206">
        <v>479.5</v>
      </c>
      <c r="D206">
        <v>483.15</v>
      </c>
      <c r="F206" s="4">
        <f t="shared" si="3"/>
        <v>3.6499999999999773</v>
      </c>
    </row>
    <row r="207" spans="1:6" x14ac:dyDescent="0.25">
      <c r="A207" t="s">
        <v>31</v>
      </c>
      <c r="B207" s="3">
        <v>1410</v>
      </c>
      <c r="D207" s="3">
        <v>1398.2</v>
      </c>
      <c r="F207" s="4">
        <f t="shared" si="3"/>
        <v>-11.799999999999955</v>
      </c>
    </row>
    <row r="208" spans="1:6" x14ac:dyDescent="0.25">
      <c r="A208" t="s">
        <v>71</v>
      </c>
      <c r="B208">
        <v>246.06</v>
      </c>
      <c r="D208">
        <v>249.33</v>
      </c>
      <c r="F208" s="4">
        <f t="shared" si="3"/>
        <v>3.2700000000000102</v>
      </c>
    </row>
    <row r="209" spans="1:6" x14ac:dyDescent="0.25">
      <c r="A209" t="s">
        <v>56</v>
      </c>
      <c r="B209">
        <v>24.2</v>
      </c>
      <c r="D209">
        <v>23.41</v>
      </c>
      <c r="F209" s="4">
        <f t="shared" si="3"/>
        <v>-0.78999999999999915</v>
      </c>
    </row>
    <row r="210" spans="1:6" x14ac:dyDescent="0.25">
      <c r="A210" t="s">
        <v>51</v>
      </c>
      <c r="B210">
        <v>990</v>
      </c>
      <c r="D210">
        <v>980.9</v>
      </c>
      <c r="F210" s="4">
        <f t="shared" si="3"/>
        <v>-9.1000000000000227</v>
      </c>
    </row>
  </sheetData>
  <conditionalFormatting sqref="G1">
    <cfRule type="cellIs" dxfId="4" priority="3" operator="greaterThan">
      <formula>0</formula>
    </cfRule>
  </conditionalFormatting>
  <conditionalFormatting sqref="F1:F1048576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2025-10-09T08:33:15Z</dcterms:created>
  <dcterms:modified xsi:type="dcterms:W3CDTF">2025-10-15T07:48:10Z</dcterms:modified>
</cp:coreProperties>
</file>